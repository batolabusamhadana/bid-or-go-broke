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ice List" sheetId="2" state="visible" r:id="rId4"/>
    <sheet name="Credits" sheetId="3" state="visible" r:id="rId5"/>
    <sheet name="Purchase Log" sheetId="4" state="visible" r:id="rId6"/>
    <sheet name="Score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<sst xmlns="http://schemas.openxmlformats.org/spreadsheetml/2006/main" count="70" uniqueCount="58">
  <si>
    <t xml:space="preserve">BID OR GO BROKE · AWS SBG BZU · DEVFEST BZU</t>
  </si>
  <si>
    <t xml:space="preserve">HOW TO USE</t>
  </si>
  <si>
    <t xml:space="preserve">1. Type team names in the Credits tab (purple-light cells, A3:A10).</t>
  </si>
  <si>
    <t xml:space="preserve">2. After each auction round, fill the Purchase Log (winner, price, 2nd-copy team and price). Credits update automatically.</t>
  </si>
  <si>
    <t xml:space="preserve">3. At the end, fill Scoreboard: must-haves covered (0-3), bonus count, overkill count, pitch (0-4). Totals and ranks are automatic.</t>
  </si>
  <si>
    <t xml:space="preserve">4. Light purple cells = inputs. Everything else is a formula. Prices are fictional game values.</t>
  </si>
  <si>
    <t xml:space="preserve">Scoring: 10 per must-have, +5 per bonus, -5 per overkill, +1 per 5 unspent CC (max 6), pitch 0-4. Incomplete builds (under 3 must-haves) cannot win.</t>
  </si>
  <si>
    <t xml:space="preserve">Service</t>
  </si>
  <si>
    <t xml:space="preserve">Category</t>
  </si>
  <si>
    <t xml:space="preserve">Start (CC)</t>
  </si>
  <si>
    <t xml:space="preserve">Min raise</t>
  </si>
  <si>
    <t xml:space="preserve">Stock</t>
  </si>
  <si>
    <t xml:space="preserve">Amazon EC2</t>
  </si>
  <si>
    <t xml:space="preserve">Compute</t>
  </si>
  <si>
    <t xml:space="preserve">Amazon S3</t>
  </si>
  <si>
    <t xml:space="preserve">Object Storage</t>
  </si>
  <si>
    <t xml:space="preserve">AWS Lambda</t>
  </si>
  <si>
    <t xml:space="preserve">Serverless Compute</t>
  </si>
  <si>
    <t xml:space="preserve">Amazon RDS</t>
  </si>
  <si>
    <t xml:space="preserve">Relational Database</t>
  </si>
  <si>
    <t xml:space="preserve">Amazon DynamoDB</t>
  </si>
  <si>
    <t xml:space="preserve">NoSQL Database</t>
  </si>
  <si>
    <t xml:space="preserve">Amazon CloudFront</t>
  </si>
  <si>
    <t xml:space="preserve">Content Delivery</t>
  </si>
  <si>
    <t xml:space="preserve">Amazon Route 53</t>
  </si>
  <si>
    <t xml:space="preserve">DNS</t>
  </si>
  <si>
    <t xml:space="preserve">Amazon Cognito</t>
  </si>
  <si>
    <t xml:space="preserve">Login &amp; Identity</t>
  </si>
  <si>
    <t xml:space="preserve">Team</t>
  </si>
  <si>
    <t xml:space="preserve">Start CC</t>
  </si>
  <si>
    <t xml:space="preserve">Spent</t>
  </si>
  <si>
    <t xml:space="preserve">Credits left</t>
  </si>
  <si>
    <t xml:space="preserve">Cards owned</t>
  </si>
  <si>
    <t xml:space="preserve">Rows: example on row 2 (ignored). Edit A3:A10.</t>
  </si>
  <si>
    <t xml:space="preserve">Example: Team Orbit</t>
  </si>
  <si>
    <t xml:space="preserve">Round</t>
  </si>
  <si>
    <t xml:space="preserve">Winning team</t>
  </si>
  <si>
    <t xml:space="preserve">Price paid</t>
  </si>
  <si>
    <t xml:space="preserve">2nd-copy team</t>
  </si>
  <si>
    <t xml:space="preserve">2nd price</t>
  </si>
  <si>
    <t xml:space="preserve">Check</t>
  </si>
  <si>
    <t xml:space="preserve">Example</t>
  </si>
  <si>
    <t xml:space="preserve">Team Orbit</t>
  </si>
  <si>
    <t xml:space="preserve">Team Nova</t>
  </si>
  <si>
    <t xml:space="preserve">Rows 11-30 are spare for extra games.</t>
  </si>
  <si>
    <t xml:space="preserve">Scenario</t>
  </si>
  <si>
    <t xml:space="preserve">Must-haves covered (0-3)</t>
  </si>
  <si>
    <t xml:space="preserve">Bonus picks</t>
  </si>
  <si>
    <t xml:space="preserve">Overkill items</t>
  </si>
  <si>
    <t xml:space="preserve">Pitch (0-4)</t>
  </si>
  <si>
    <t xml:space="preserve">Must pts</t>
  </si>
  <si>
    <t xml:space="preserve">Bonus pts</t>
  </si>
  <si>
    <t xml:space="preserve">Overkill pts</t>
  </si>
  <si>
    <t xml:space="preserve">Budget pts</t>
  </si>
  <si>
    <t xml:space="preserve">TOTAL /50</t>
  </si>
  <si>
    <t xml:space="preserve">Status</t>
  </si>
  <si>
    <t xml:space="preserve">Rank</t>
  </si>
  <si>
    <t xml:space="preserve">Tie-break: more credits left, then best pitch (decide manually). Team names come from the Credits tab.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</si>
</sst>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B2B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1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2BFF"/>
        <bgColor rgb="FF993366"/>
      </patternFill>
    </fill>
    <fill>
      <patternFill patternType="solid">
        <fgColor rgb="FFEFE5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8CFF"/>
      </left>
      <right style="thin">
        <color rgb="FFB98CFF"/>
      </right>
      <top style="thin">
        <color rgb="FFB98CFF"/>
      </top>
      <bottom style="thin">
        <color rgb="FFB98C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8B2BFF"/>
      <rgbColor rgb="FFFFFFCC"/>
      <rgbColor rgb="FFCCFFFF"/>
      <rgbColor rgb="FF660066"/>
      <rgbColor rgb="FFFF8080"/>
      <rgbColor rgb="FF0066CC"/>
      <rgbColor rgb="FFEF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98C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</row>
    <row r="2" customFormat="false" ht="15" hidden="false" customHeight="false" outlineLevel="0" collapsed="false">
      <c r="A2" s="5" t="s">
        <v>12</v>
      </c>
      <c r="B2" s="5" t="s">
        <v>13</v>
      </c>
      <c r="C2" s="5" t="n">
        <v>20</v>
      </c>
      <c r="D2" s="5" t="n">
        <v>2</v>
      </c>
      <c r="E2" s="5" t="n">
        <v>2</v>
      </c>
    </row>
    <row r="3" customFormat="false" ht="15" hidden="false" customHeight="false" outlineLevel="0" collapsed="false">
      <c r="A3" s="5" t="s">
        <v>14</v>
      </c>
      <c r="B3" s="5" t="s">
        <v>15</v>
      </c>
      <c r="C3" s="5" t="n">
        <v>10</v>
      </c>
      <c r="D3" s="5" t="n">
        <v>2</v>
      </c>
      <c r="E3" s="5" t="n">
        <v>2</v>
      </c>
    </row>
    <row r="4" customFormat="false" ht="15" hidden="false" customHeight="false" outlineLevel="0" collapsed="false">
      <c r="A4" s="5" t="s">
        <v>16</v>
      </c>
      <c r="B4" s="5" t="s">
        <v>17</v>
      </c>
      <c r="C4" s="5" t="n">
        <v>15</v>
      </c>
      <c r="D4" s="5" t="n">
        <v>2</v>
      </c>
      <c r="E4" s="5" t="n">
        <v>2</v>
      </c>
    </row>
    <row r="5" customFormat="false" ht="15" hidden="false" customHeight="false" outlineLevel="0" collapsed="false">
      <c r="A5" s="5" t="s">
        <v>18</v>
      </c>
      <c r="B5" s="5" t="s">
        <v>19</v>
      </c>
      <c r="C5" s="5" t="n">
        <v>25</v>
      </c>
      <c r="D5" s="5" t="n">
        <v>2</v>
      </c>
      <c r="E5" s="5" t="n">
        <v>2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n">
        <v>20</v>
      </c>
      <c r="D6" s="5" t="n">
        <v>2</v>
      </c>
      <c r="E6" s="5" t="n">
        <v>2</v>
      </c>
    </row>
    <row r="7" customFormat="false" ht="15" hidden="false" customHeight="false" outlineLevel="0" collapsed="false">
      <c r="A7" s="5" t="s">
        <v>22</v>
      </c>
      <c r="B7" s="5" t="s">
        <v>23</v>
      </c>
      <c r="C7" s="5" t="n">
        <v>15</v>
      </c>
      <c r="D7" s="5" t="n">
        <v>2</v>
      </c>
      <c r="E7" s="5" t="n">
        <v>2</v>
      </c>
    </row>
    <row r="8" customFormat="false" ht="15" hidden="false" customHeight="false" outlineLevel="0" collapsed="false">
      <c r="A8" s="5" t="s">
        <v>24</v>
      </c>
      <c r="B8" s="5" t="s">
        <v>25</v>
      </c>
      <c r="C8" s="5" t="n">
        <v>10</v>
      </c>
      <c r="D8" s="5" t="n">
        <v>2</v>
      </c>
      <c r="E8" s="5" t="n">
        <v>2</v>
      </c>
    </row>
    <row r="9" customFormat="false" ht="15" hidden="false" customHeight="false" outlineLevel="0" collapsed="false">
      <c r="A9" s="5" t="s">
        <v>26</v>
      </c>
      <c r="B9" s="5" t="s">
        <v>27</v>
      </c>
      <c r="C9" s="5" t="n">
        <v>10</v>
      </c>
      <c r="D9" s="5" t="n">
        <v>2</v>
      </c>
      <c r="E9" s="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  <col collapsed="false" customWidth="true" hidden="false" outlineLevel="0" max="5" min="4" style="0" width="12"/>
  </cols>
  <sheetData>
    <row r="1" customFormat="false" ht="26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G1" s="6" t="s">
        <v>33</v>
      </c>
    </row>
    <row r="2" customFormat="false" ht="15" hidden="false" customHeight="false" outlineLevel="0" collapsed="false">
      <c r="A2" s="7" t="s">
        <v>34</v>
      </c>
    </row>
    <row r="3" customFormat="false" ht="15" hidden="false" customHeight="false" outlineLevel="0" collapsed="false">
      <c r="A3" s="8"/>
      <c r="B3" s="9" t="n">
        <v>100</v>
      </c>
      <c r="C3" s="9" t="n">
        <f aca="false">SUMIF('Purchase Log'!$C$3:$C$40,A3,'Purchase Log'!$D$3:$D$40)+SUMIF('Purchase Log'!$E$3:$E$40,A3,'Purchase Log'!$F$3:$F$40)</f>
        <v>0</v>
      </c>
      <c r="D3" s="9" t="str">
        <f aca="false">IF(A3="","",B3-C3)</f>
        <v/>
      </c>
      <c r="E3" s="9" t="str">
        <f aca="false">IF(A3="","",COUNTIF('Purchase Log'!$C$3:$C$40,A3)+COUNTIF('Purchase Log'!$E$3:$E$40,A3))</f>
        <v/>
      </c>
    </row>
    <row r="4" customFormat="false" ht="15" hidden="false" customHeight="false" outlineLevel="0" collapsed="false">
      <c r="A4" s="8"/>
      <c r="B4" s="9" t="n">
        <v>100</v>
      </c>
      <c r="C4" s="9" t="n">
        <f aca="false">SUMIF('Purchase Log'!$C$3:$C$40,A4,'Purchase Log'!$D$3:$D$40)+SUMIF('Purchase Log'!$E$3:$E$40,A4,'Purchase Log'!$F$3:$F$40)</f>
        <v>0</v>
      </c>
      <c r="D4" s="9" t="str">
        <f aca="false">IF(A4="","",B4-C4)</f>
        <v/>
      </c>
      <c r="E4" s="9" t="str">
        <f aca="false">IF(A4="","",COUNTIF('Purchase Log'!$C$3:$C$40,A4)+COUNTIF('Purchase Log'!$E$3:$E$40,A4))</f>
        <v/>
      </c>
    </row>
    <row r="5" customFormat="false" ht="15" hidden="false" customHeight="false" outlineLevel="0" collapsed="false">
      <c r="A5" s="8"/>
      <c r="B5" s="9" t="n">
        <v>100</v>
      </c>
      <c r="C5" s="9" t="n">
        <f aca="false">SUMIF('Purchase Log'!$C$3:$C$40,A5,'Purchase Log'!$D$3:$D$40)+SUMIF('Purchase Log'!$E$3:$E$40,A5,'Purchase Log'!$F$3:$F$40)</f>
        <v>0</v>
      </c>
      <c r="D5" s="9" t="str">
        <f aca="false">IF(A5="","",B5-C5)</f>
        <v/>
      </c>
      <c r="E5" s="9" t="str">
        <f aca="false">IF(A5="","",COUNTIF('Purchase Log'!$C$3:$C$40,A5)+COUNTIF('Purchase Log'!$E$3:$E$40,A5))</f>
        <v/>
      </c>
    </row>
    <row r="6" customFormat="false" ht="15" hidden="false" customHeight="false" outlineLevel="0" collapsed="false">
      <c r="A6" s="8"/>
      <c r="B6" s="9" t="n">
        <v>100</v>
      </c>
      <c r="C6" s="9" t="n">
        <f aca="false">SUMIF('Purchase Log'!$C$3:$C$40,A6,'Purchase Log'!$D$3:$D$40)+SUMIF('Purchase Log'!$E$3:$E$40,A6,'Purchase Log'!$F$3:$F$40)</f>
        <v>0</v>
      </c>
      <c r="D6" s="9" t="str">
        <f aca="false">IF(A6="","",B6-C6)</f>
        <v/>
      </c>
      <c r="E6" s="9" t="str">
        <f aca="false">IF(A6="","",COUNTIF('Purchase Log'!$C$3:$C$40,A6)+COUNTIF('Purchase Log'!$E$3:$E$40,A6))</f>
        <v/>
      </c>
    </row>
    <row r="7" customFormat="false" ht="15" hidden="false" customHeight="false" outlineLevel="0" collapsed="false">
      <c r="A7" s="8"/>
      <c r="B7" s="9" t="n">
        <v>100</v>
      </c>
      <c r="C7" s="9" t="n">
        <f aca="false">SUMIF('Purchase Log'!$C$3:$C$40,A7,'Purchase Log'!$D$3:$D$40)+SUMIF('Purchase Log'!$E$3:$E$40,A7,'Purchase Log'!$F$3:$F$40)</f>
        <v>0</v>
      </c>
      <c r="D7" s="9" t="str">
        <f aca="false">IF(A7="","",B7-C7)</f>
        <v/>
      </c>
      <c r="E7" s="9" t="str">
        <f aca="false">IF(A7="","",COUNTIF('Purchase Log'!$C$3:$C$40,A7)+COUNTIF('Purchase Log'!$E$3:$E$40,A7))</f>
        <v/>
      </c>
    </row>
    <row r="8" customFormat="false" ht="15" hidden="false" customHeight="false" outlineLevel="0" collapsed="false">
      <c r="A8" s="8"/>
      <c r="B8" s="9" t="n">
        <v>100</v>
      </c>
      <c r="C8" s="9" t="n">
        <f aca="false">SUMIF('Purchase Log'!$C$3:$C$40,A8,'Purchase Log'!$D$3:$D$40)+SUMIF('Purchase Log'!$E$3:$E$40,A8,'Purchase Log'!$F$3:$F$40)</f>
        <v>0</v>
      </c>
      <c r="D8" s="9" t="str">
        <f aca="false">IF(A8="","",B8-C8)</f>
        <v/>
      </c>
      <c r="E8" s="9" t="str">
        <f aca="false">IF(A8="","",COUNTIF('Purchase Log'!$C$3:$C$40,A8)+COUNTIF('Purchase Log'!$E$3:$E$40,A8))</f>
        <v/>
      </c>
    </row>
    <row r="9" customFormat="false" ht="15" hidden="false" customHeight="false" outlineLevel="0" collapsed="false">
      <c r="A9" s="8"/>
      <c r="B9" s="9" t="n">
        <v>100</v>
      </c>
      <c r="C9" s="9" t="n">
        <f aca="false">SUMIF('Purchase Log'!$C$3:$C$40,A9,'Purchase Log'!$D$3:$D$40)+SUMIF('Purchase Log'!$E$3:$E$40,A9,'Purchase Log'!$F$3:$F$40)</f>
        <v>0</v>
      </c>
      <c r="D9" s="9" t="str">
        <f aca="false">IF(A9="","",B9-C9)</f>
        <v/>
      </c>
      <c r="E9" s="9" t="str">
        <f aca="false">IF(A9="","",COUNTIF('Purchase Log'!$C$3:$C$40,A9)+COUNTIF('Purchase Log'!$E$3:$E$40,A9))</f>
        <v/>
      </c>
    </row>
    <row r="10" customFormat="false" ht="15" hidden="false" customHeight="false" outlineLevel="0" collapsed="false">
      <c r="A10" s="8"/>
      <c r="B10" s="9" t="n">
        <v>100</v>
      </c>
      <c r="C10" s="9" t="n">
        <f aca="false">SUMIF('Purchase Log'!$C$3:$C$40,A10,'Purchase Log'!$D$3:$D$40)+SUMIF('Purchase Log'!$E$3:$E$40,A10,'Purchase Log'!$F$3:$F$40)</f>
        <v>0</v>
      </c>
      <c r="D10" s="9" t="str">
        <f aca="false">IF(A10="","",B10-C10)</f>
        <v/>
      </c>
      <c r="E10" s="9" t="str">
        <f aca="false">IF(A10="","",COUNTIF('Purchase Log'!$C$3:$C$40,A10)+COUNTIF('Purchase Log'!$E$3:$E$40,A10))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4" t="s">
        <v>35</v>
      </c>
      <c r="B1" s="4" t="s">
        <v>7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</row>
    <row r="2" customFormat="false" ht="15" hidden="false" customHeight="false" outlineLevel="0" collapsed="false">
      <c r="A2" s="7" t="s">
        <v>41</v>
      </c>
      <c r="B2" s="7" t="s">
        <v>14</v>
      </c>
      <c r="C2" s="7" t="s">
        <v>42</v>
      </c>
      <c r="D2" s="7" t="n">
        <v>16</v>
      </c>
      <c r="E2" s="7" t="s">
        <v>43</v>
      </c>
      <c r="F2" s="7" t="n">
        <v>14</v>
      </c>
      <c r="G2" s="7"/>
    </row>
    <row r="3" customFormat="false" ht="15" hidden="false" customHeight="false" outlineLevel="0" collapsed="false">
      <c r="A3" s="5" t="n">
        <v>1</v>
      </c>
      <c r="B3" s="5" t="s">
        <v>12</v>
      </c>
      <c r="C3" s="10"/>
      <c r="D3" s="10"/>
      <c r="E3" s="10"/>
      <c r="F3" s="10"/>
      <c r="G3" s="5" t="str">
        <f aca="false">IF(C3="","",IF(D3&lt;VLOOKUP(B3,'Price List'!$A$2:$C$9,3,FALSE()),"Below start price!","OK"))</f>
        <v/>
      </c>
    </row>
    <row r="4" customFormat="false" ht="15" hidden="false" customHeight="false" outlineLevel="0" collapsed="false">
      <c r="A4" s="5" t="n">
        <v>2</v>
      </c>
      <c r="B4" s="5" t="s">
        <v>14</v>
      </c>
      <c r="C4" s="10"/>
      <c r="D4" s="10"/>
      <c r="E4" s="10"/>
      <c r="F4" s="10"/>
      <c r="G4" s="5" t="str">
        <f aca="false">IF(C4="","",IF(D4&lt;VLOOKUP(B4,'Price List'!$A$2:$C$9,3,FALSE()),"Below start price!","OK"))</f>
        <v/>
      </c>
    </row>
    <row r="5" customFormat="false" ht="15" hidden="false" customHeight="false" outlineLevel="0" collapsed="false">
      <c r="A5" s="5" t="n">
        <v>3</v>
      </c>
      <c r="B5" s="5" t="s">
        <v>16</v>
      </c>
      <c r="C5" s="10"/>
      <c r="D5" s="10"/>
      <c r="E5" s="10"/>
      <c r="F5" s="10"/>
      <c r="G5" s="5" t="str">
        <f aca="false">IF(C5="","",IF(D5&lt;VLOOKUP(B5,'Price List'!$A$2:$C$9,3,FALSE()),"Below start price!","OK"))</f>
        <v/>
      </c>
    </row>
    <row r="6" customFormat="false" ht="15" hidden="false" customHeight="false" outlineLevel="0" collapsed="false">
      <c r="A6" s="5" t="n">
        <v>4</v>
      </c>
      <c r="B6" s="5" t="s">
        <v>18</v>
      </c>
      <c r="C6" s="10"/>
      <c r="D6" s="10"/>
      <c r="E6" s="10"/>
      <c r="F6" s="10"/>
      <c r="G6" s="5" t="str">
        <f aca="false">IF(C6="","",IF(D6&lt;VLOOKUP(B6,'Price List'!$A$2:$C$9,3,FALSE()),"Below start price!","OK"))</f>
        <v/>
      </c>
    </row>
    <row r="7" customFormat="false" ht="15" hidden="false" customHeight="false" outlineLevel="0" collapsed="false">
      <c r="A7" s="5" t="n">
        <v>5</v>
      </c>
      <c r="B7" s="5" t="s">
        <v>20</v>
      </c>
      <c r="C7" s="10"/>
      <c r="D7" s="10"/>
      <c r="E7" s="10"/>
      <c r="F7" s="10"/>
      <c r="G7" s="5" t="str">
        <f aca="false">IF(C7="","",IF(D7&lt;VLOOKUP(B7,'Price List'!$A$2:$C$9,3,FALSE()),"Below start price!","OK"))</f>
        <v/>
      </c>
    </row>
    <row r="8" customFormat="false" ht="15" hidden="false" customHeight="false" outlineLevel="0" collapsed="false">
      <c r="A8" s="5" t="n">
        <v>6</v>
      </c>
      <c r="B8" s="5" t="s">
        <v>22</v>
      </c>
      <c r="C8" s="10"/>
      <c r="D8" s="10"/>
      <c r="E8" s="10"/>
      <c r="F8" s="10"/>
      <c r="G8" s="5" t="str">
        <f aca="false">IF(C8="","",IF(D8&lt;VLOOKUP(B8,'Price List'!$A$2:$C$9,3,FALSE()),"Below start price!","OK"))</f>
        <v/>
      </c>
    </row>
    <row r="9" customFormat="false" ht="15" hidden="false" customHeight="false" outlineLevel="0" collapsed="false">
      <c r="A9" s="5" t="n">
        <v>7</v>
      </c>
      <c r="B9" s="5" t="s">
        <v>24</v>
      </c>
      <c r="C9" s="10"/>
      <c r="D9" s="10"/>
      <c r="E9" s="10"/>
      <c r="F9" s="10"/>
      <c r="G9" s="5" t="str">
        <f aca="false">IF(C9="","",IF(D9&lt;VLOOKUP(B9,'Price List'!$A$2:$C$9,3,FALSE()),"Below start price!","OK"))</f>
        <v/>
      </c>
    </row>
    <row r="10" customFormat="false" ht="15" hidden="false" customHeight="false" outlineLevel="0" collapsed="false">
      <c r="A10" s="5" t="n">
        <v>8</v>
      </c>
      <c r="B10" s="5" t="s">
        <v>26</v>
      </c>
      <c r="C10" s="10"/>
      <c r="D10" s="10"/>
      <c r="E10" s="10"/>
      <c r="F10" s="10"/>
      <c r="G10" s="5" t="str">
        <f aca="false">IF(C10="","",IF(D10&lt;VLOOKUP(B10,'Price List'!$A$2:$C$9,3,FALSE()),"Below start price!","OK"))</f>
        <v/>
      </c>
    </row>
    <row r="11" customFormat="false" ht="15" hidden="false" customHeight="false" outlineLevel="0" collapsed="false">
      <c r="A11" s="11"/>
      <c r="B11" s="11"/>
      <c r="C11" s="8"/>
      <c r="D11" s="8"/>
      <c r="E11" s="8"/>
      <c r="F11" s="8"/>
      <c r="G11" s="11"/>
    </row>
    <row r="12" customFormat="false" ht="15" hidden="false" customHeight="false" outlineLevel="0" collapsed="false">
      <c r="A12" s="11"/>
      <c r="B12" s="11"/>
      <c r="C12" s="8"/>
      <c r="D12" s="8"/>
      <c r="E12" s="8"/>
      <c r="F12" s="8"/>
      <c r="G12" s="11"/>
    </row>
    <row r="13" customFormat="false" ht="15" hidden="false" customHeight="false" outlineLevel="0" collapsed="false">
      <c r="A13" s="11"/>
      <c r="B13" s="11"/>
      <c r="C13" s="8"/>
      <c r="D13" s="8"/>
      <c r="E13" s="8"/>
      <c r="F13" s="8"/>
      <c r="G13" s="11"/>
    </row>
    <row r="14" customFormat="false" ht="15" hidden="false" customHeight="false" outlineLevel="0" collapsed="false">
      <c r="A14" s="11"/>
      <c r="B14" s="11"/>
      <c r="C14" s="8"/>
      <c r="D14" s="8"/>
      <c r="E14" s="8"/>
      <c r="F14" s="8"/>
      <c r="G14" s="11"/>
    </row>
    <row r="15" customFormat="false" ht="15" hidden="false" customHeight="false" outlineLevel="0" collapsed="false">
      <c r="A15" s="11"/>
      <c r="B15" s="11"/>
      <c r="C15" s="8"/>
      <c r="D15" s="8"/>
      <c r="E15" s="8"/>
      <c r="F15" s="8"/>
      <c r="G15" s="11"/>
    </row>
    <row r="16" customFormat="false" ht="15" hidden="false" customHeight="false" outlineLevel="0" collapsed="false">
      <c r="A16" s="11"/>
      <c r="B16" s="11"/>
      <c r="C16" s="8"/>
      <c r="D16" s="8"/>
      <c r="E16" s="8"/>
      <c r="F16" s="8"/>
      <c r="G16" s="11"/>
    </row>
    <row r="17" customFormat="false" ht="15" hidden="false" customHeight="false" outlineLevel="0" collapsed="false">
      <c r="A17" s="11"/>
      <c r="B17" s="11"/>
      <c r="C17" s="8"/>
      <c r="D17" s="8"/>
      <c r="E17" s="8"/>
      <c r="F17" s="8"/>
      <c r="G17" s="11"/>
    </row>
    <row r="18" customFormat="false" ht="15" hidden="false" customHeight="false" outlineLevel="0" collapsed="false">
      <c r="A18" s="11"/>
      <c r="B18" s="11"/>
      <c r="C18" s="8"/>
      <c r="D18" s="8"/>
      <c r="E18" s="8"/>
      <c r="F18" s="8"/>
      <c r="G18" s="11"/>
    </row>
    <row r="19" customFormat="false" ht="15" hidden="false" customHeight="false" outlineLevel="0" collapsed="false">
      <c r="A19" s="11"/>
      <c r="B19" s="11"/>
      <c r="C19" s="8"/>
      <c r="D19" s="8"/>
      <c r="E19" s="8"/>
      <c r="F19" s="8"/>
      <c r="G19" s="11"/>
    </row>
    <row r="20" customFormat="false" ht="15" hidden="false" customHeight="false" outlineLevel="0" collapsed="false">
      <c r="A20" s="11"/>
      <c r="B20" s="11"/>
      <c r="C20" s="8"/>
      <c r="D20" s="8"/>
      <c r="E20" s="8"/>
      <c r="F20" s="8"/>
      <c r="G20" s="11"/>
    </row>
    <row r="21" customFormat="false" ht="15" hidden="false" customHeight="false" outlineLevel="0" collapsed="false">
      <c r="A21" s="11"/>
      <c r="B21" s="11"/>
      <c r="C21" s="8"/>
      <c r="D21" s="8"/>
      <c r="E21" s="8"/>
      <c r="F21" s="8"/>
      <c r="G21" s="11"/>
    </row>
    <row r="22" customFormat="false" ht="15" hidden="false" customHeight="false" outlineLevel="0" collapsed="false">
      <c r="A22" s="11"/>
      <c r="B22" s="11"/>
      <c r="C22" s="8"/>
      <c r="D22" s="8"/>
      <c r="E22" s="8"/>
      <c r="F22" s="8"/>
      <c r="G22" s="11"/>
    </row>
    <row r="23" customFormat="false" ht="15" hidden="false" customHeight="false" outlineLevel="0" collapsed="false">
      <c r="A23" s="11"/>
      <c r="B23" s="11"/>
      <c r="C23" s="8"/>
      <c r="D23" s="8"/>
      <c r="E23" s="8"/>
      <c r="F23" s="8"/>
      <c r="G23" s="11"/>
    </row>
    <row r="24" customFormat="false" ht="15" hidden="false" customHeight="false" outlineLevel="0" collapsed="false">
      <c r="A24" s="11"/>
      <c r="B24" s="11"/>
      <c r="C24" s="8"/>
      <c r="D24" s="8"/>
      <c r="E24" s="8"/>
      <c r="F24" s="8"/>
      <c r="G24" s="11"/>
    </row>
    <row r="25" customFormat="false" ht="15" hidden="false" customHeight="false" outlineLevel="0" collapsed="false">
      <c r="A25" s="11"/>
      <c r="B25" s="11"/>
      <c r="C25" s="8"/>
      <c r="D25" s="8"/>
      <c r="E25" s="8"/>
      <c r="F25" s="8"/>
      <c r="G25" s="11"/>
    </row>
    <row r="26" customFormat="false" ht="15" hidden="false" customHeight="false" outlineLevel="0" collapsed="false">
      <c r="A26" s="11"/>
      <c r="B26" s="11"/>
      <c r="C26" s="8"/>
      <c r="D26" s="8"/>
      <c r="E26" s="8"/>
      <c r="F26" s="8"/>
      <c r="G26" s="11"/>
    </row>
    <row r="27" customFormat="false" ht="15" hidden="false" customHeight="false" outlineLevel="0" collapsed="false">
      <c r="A27" s="11"/>
      <c r="B27" s="11"/>
      <c r="C27" s="8"/>
      <c r="D27" s="8"/>
      <c r="E27" s="8"/>
      <c r="F27" s="8"/>
      <c r="G27" s="11"/>
    </row>
    <row r="28" customFormat="false" ht="15" hidden="false" customHeight="false" outlineLevel="0" collapsed="false">
      <c r="A28" s="11"/>
      <c r="B28" s="11"/>
      <c r="C28" s="8"/>
      <c r="D28" s="8"/>
      <c r="E28" s="8"/>
      <c r="F28" s="8"/>
      <c r="G28" s="11"/>
    </row>
    <row r="29" customFormat="false" ht="15" hidden="false" customHeight="false" outlineLevel="0" collapsed="false">
      <c r="A29" s="11"/>
      <c r="B29" s="11"/>
      <c r="C29" s="8"/>
      <c r="D29" s="8"/>
      <c r="E29" s="8"/>
      <c r="F29" s="8"/>
      <c r="G29" s="11"/>
    </row>
    <row r="30" customFormat="false" ht="15" hidden="false" customHeight="false" outlineLevel="0" collapsed="false">
      <c r="A30" s="11"/>
      <c r="B30" s="11"/>
      <c r="C30" s="8"/>
      <c r="D30" s="8"/>
      <c r="E30" s="8"/>
      <c r="F30" s="8"/>
      <c r="G30" s="11"/>
    </row>
    <row r="31" customFormat="false" ht="15" hidden="false" customHeight="false" outlineLevel="0" collapsed="false">
      <c r="A31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7" min="4" style="0" width="10"/>
    <col collapsed="false" customWidth="true" hidden="false" outlineLevel="0" max="9" min="8" style="0" width="9"/>
    <col collapsed="false" customWidth="true" hidden="false" outlineLevel="0" max="12" min="10" style="0" width="10"/>
    <col collapsed="false" customWidth="true" hidden="false" outlineLevel="0" max="13" min="13" style="0" width="13"/>
    <col collapsed="false" customWidth="true" hidden="false" outlineLevel="0" max="14" min="14" style="0" width="8"/>
  </cols>
  <sheetData>
    <row r="1" customFormat="false" ht="45" hidden="false" customHeight="true" outlineLevel="0" collapsed="false">
      <c r="A1" s="4" t="s">
        <v>28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31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56</v>
      </c>
    </row>
    <row r="2" customFormat="false" ht="15" hidden="false" customHeight="false" outlineLevel="0" collapsed="false">
      <c r="A2" s="9" t="str">
        <f aca="false">IF(Credits!A3="","",Credits!A3)</f>
        <v/>
      </c>
      <c r="B2" s="12"/>
      <c r="C2" s="12"/>
      <c r="D2" s="12"/>
      <c r="E2" s="12"/>
      <c r="F2" s="9" t="str">
        <f aca="false">IF(A2="","",Credits!D3)</f>
        <v/>
      </c>
      <c r="G2" s="12"/>
      <c r="H2" s="9" t="n">
        <f aca="false">10*N(C2)</f>
        <v>0</v>
      </c>
      <c r="I2" s="9" t="n">
        <f aca="false">5*MIN(2,N(D2))</f>
        <v>0</v>
      </c>
      <c r="J2" s="9" t="n">
        <f aca="false">-5*MIN(2,N(E2))</f>
        <v>-0</v>
      </c>
      <c r="K2" s="9" t="n">
        <f aca="false">IF(A2="",0,MIN(6,INT(N(F2)/5)))</f>
        <v>0</v>
      </c>
      <c r="L2" s="9" t="str">
        <f aca="false">IF(A2="","",H2+I2+J2+K2+MIN(4,N(G2)))</f>
        <v/>
      </c>
      <c r="M2" s="9" t="str">
        <f aca="false">IF(A2="","",IF(N(C2)&gt;=3,"Valid","INCOMPLETE"))</f>
        <v/>
      </c>
      <c r="N2" s="9" t="str">
        <f aca="false">IF(M2="Valid",COUNTIFS($M$2:$M$9,"Valid",$L$2:$L$9,"&gt;"&amp;L2)+1,"-")</f>
        <v>-</v>
      </c>
    </row>
    <row r="3" customFormat="false" ht="15" hidden="false" customHeight="false" outlineLevel="0" collapsed="false">
      <c r="A3" s="9" t="str">
        <f aca="false">IF(Credits!A4="","",Credits!A4)</f>
        <v/>
      </c>
      <c r="B3" s="12"/>
      <c r="C3" s="12"/>
      <c r="D3" s="12"/>
      <c r="E3" s="12"/>
      <c r="F3" s="9" t="str">
        <f aca="false">IF(A3="","",Credits!D4)</f>
        <v/>
      </c>
      <c r="G3" s="12"/>
      <c r="H3" s="9" t="n">
        <f aca="false">10*N(C3)</f>
        <v>0</v>
      </c>
      <c r="I3" s="9" t="n">
        <f aca="false">5*MIN(2,N(D3))</f>
        <v>0</v>
      </c>
      <c r="J3" s="9" t="n">
        <f aca="false">-5*MIN(2,N(E3))</f>
        <v>-0</v>
      </c>
      <c r="K3" s="9" t="n">
        <f aca="false">IF(A3="",0,MIN(6,INT(N(F3)/5)))</f>
        <v>0</v>
      </c>
      <c r="L3" s="9" t="str">
        <f aca="false">IF(A3="","",H3+I3+J3+K3+MIN(4,N(G3)))</f>
        <v/>
      </c>
      <c r="M3" s="9" t="str">
        <f aca="false">IF(A3="","",IF(N(C3)&gt;=3,"Valid","INCOMPLETE"))</f>
        <v/>
      </c>
      <c r="N3" s="9" t="str">
        <f aca="false">IF(M3="Valid",COUNTIFS($M$2:$M$9,"Valid",$L$2:$L$9,"&gt;"&amp;L3)+1,"-")</f>
        <v>-</v>
      </c>
    </row>
    <row r="4" customFormat="false" ht="15" hidden="false" customHeight="false" outlineLevel="0" collapsed="false">
      <c r="A4" s="9" t="str">
        <f aca="false">IF(Credits!A5="","",Credits!A5)</f>
        <v/>
      </c>
      <c r="B4" s="12"/>
      <c r="C4" s="12"/>
      <c r="D4" s="12"/>
      <c r="E4" s="12"/>
      <c r="F4" s="9" t="str">
        <f aca="false">IF(A4="","",Credits!D5)</f>
        <v/>
      </c>
      <c r="G4" s="12"/>
      <c r="H4" s="9" t="n">
        <f aca="false">10*N(C4)</f>
        <v>0</v>
      </c>
      <c r="I4" s="9" t="n">
        <f aca="false">5*MIN(2,N(D4))</f>
        <v>0</v>
      </c>
      <c r="J4" s="9" t="n">
        <f aca="false">-5*MIN(2,N(E4))</f>
        <v>-0</v>
      </c>
      <c r="K4" s="9" t="n">
        <f aca="false">IF(A4="",0,MIN(6,INT(N(F4)/5)))</f>
        <v>0</v>
      </c>
      <c r="L4" s="9" t="str">
        <f aca="false">IF(A4="","",H4+I4+J4+K4+MIN(4,N(G4)))</f>
        <v/>
      </c>
      <c r="M4" s="9" t="str">
        <f aca="false">IF(A4="","",IF(N(C4)&gt;=3,"Valid","INCOMPLETE"))</f>
        <v/>
      </c>
      <c r="N4" s="9" t="str">
        <f aca="false">IF(M4="Valid",COUNTIFS($M$2:$M$9,"Valid",$L$2:$L$9,"&gt;"&amp;L4)+1,"-")</f>
        <v>-</v>
      </c>
    </row>
    <row r="5" customFormat="false" ht="15" hidden="false" customHeight="false" outlineLevel="0" collapsed="false">
      <c r="A5" s="9" t="str">
        <f aca="false">IF(Credits!A6="","",Credits!A6)</f>
        <v/>
      </c>
      <c r="B5" s="12"/>
      <c r="C5" s="12"/>
      <c r="D5" s="12"/>
      <c r="E5" s="12"/>
      <c r="F5" s="9" t="str">
        <f aca="false">IF(A5="","",Credits!D6)</f>
        <v/>
      </c>
      <c r="G5" s="12"/>
      <c r="H5" s="9" t="n">
        <f aca="false">10*N(C5)</f>
        <v>0</v>
      </c>
      <c r="I5" s="9" t="n">
        <f aca="false">5*MIN(2,N(D5))</f>
        <v>0</v>
      </c>
      <c r="J5" s="9" t="n">
        <f aca="false">-5*MIN(2,N(E5))</f>
        <v>-0</v>
      </c>
      <c r="K5" s="9" t="n">
        <f aca="false">IF(A5="",0,MIN(6,INT(N(F5)/5)))</f>
        <v>0</v>
      </c>
      <c r="L5" s="9" t="str">
        <f aca="false">IF(A5="","",H5+I5+J5+K5+MIN(4,N(G5)))</f>
        <v/>
      </c>
      <c r="M5" s="9" t="str">
        <f aca="false">IF(A5="","",IF(N(C5)&gt;=3,"Valid","INCOMPLETE"))</f>
        <v/>
      </c>
      <c r="N5" s="9" t="str">
        <f aca="false">IF(M5="Valid",COUNTIFS($M$2:$M$9,"Valid",$L$2:$L$9,"&gt;"&amp;L5)+1,"-")</f>
        <v>-</v>
      </c>
    </row>
    <row r="6" customFormat="false" ht="15" hidden="false" customHeight="false" outlineLevel="0" collapsed="false">
      <c r="A6" s="9" t="str">
        <f aca="false">IF(Credits!A7="","",Credits!A7)</f>
        <v/>
      </c>
      <c r="B6" s="12"/>
      <c r="C6" s="12"/>
      <c r="D6" s="12"/>
      <c r="E6" s="12"/>
      <c r="F6" s="9" t="str">
        <f aca="false">IF(A6="","",Credits!D7)</f>
        <v/>
      </c>
      <c r="G6" s="12"/>
      <c r="H6" s="9" t="n">
        <f aca="false">10*N(C6)</f>
        <v>0</v>
      </c>
      <c r="I6" s="9" t="n">
        <f aca="false">5*MIN(2,N(D6))</f>
        <v>0</v>
      </c>
      <c r="J6" s="9" t="n">
        <f aca="false">-5*MIN(2,N(E6))</f>
        <v>-0</v>
      </c>
      <c r="K6" s="9" t="n">
        <f aca="false">IF(A6="",0,MIN(6,INT(N(F6)/5)))</f>
        <v>0</v>
      </c>
      <c r="L6" s="9" t="str">
        <f aca="false">IF(A6="","",H6+I6+J6+K6+MIN(4,N(G6)))</f>
        <v/>
      </c>
      <c r="M6" s="9" t="str">
        <f aca="false">IF(A6="","",IF(N(C6)&gt;=3,"Valid","INCOMPLETE"))</f>
        <v/>
      </c>
      <c r="N6" s="9" t="str">
        <f aca="false">IF(M6="Valid",COUNTIFS($M$2:$M$9,"Valid",$L$2:$L$9,"&gt;"&amp;L6)+1,"-")</f>
        <v>-</v>
      </c>
    </row>
    <row r="7" customFormat="false" ht="15" hidden="false" customHeight="false" outlineLevel="0" collapsed="false">
      <c r="A7" s="9" t="str">
        <f aca="false">IF(Credits!A8="","",Credits!A8)</f>
        <v/>
      </c>
      <c r="B7" s="12"/>
      <c r="C7" s="12"/>
      <c r="D7" s="12"/>
      <c r="E7" s="12"/>
      <c r="F7" s="9" t="str">
        <f aca="false">IF(A7="","",Credits!D8)</f>
        <v/>
      </c>
      <c r="G7" s="12"/>
      <c r="H7" s="9" t="n">
        <f aca="false">10*N(C7)</f>
        <v>0</v>
      </c>
      <c r="I7" s="9" t="n">
        <f aca="false">5*MIN(2,N(D7))</f>
        <v>0</v>
      </c>
      <c r="J7" s="9" t="n">
        <f aca="false">-5*MIN(2,N(E7))</f>
        <v>-0</v>
      </c>
      <c r="K7" s="9" t="n">
        <f aca="false">IF(A7="",0,MIN(6,INT(N(F7)/5)))</f>
        <v>0</v>
      </c>
      <c r="L7" s="9" t="str">
        <f aca="false">IF(A7="","",H7+I7+J7+K7+MIN(4,N(G7)))</f>
        <v/>
      </c>
      <c r="M7" s="9" t="str">
        <f aca="false">IF(A7="","",IF(N(C7)&gt;=3,"Valid","INCOMPLETE"))</f>
        <v/>
      </c>
      <c r="N7" s="9" t="str">
        <f aca="false">IF(M7="Valid",COUNTIFS($M$2:$M$9,"Valid",$L$2:$L$9,"&gt;"&amp;L7)+1,"-")</f>
        <v>-</v>
      </c>
    </row>
    <row r="8" customFormat="false" ht="15" hidden="false" customHeight="false" outlineLevel="0" collapsed="false">
      <c r="A8" s="9" t="str">
        <f aca="false">IF(Credits!A9="","",Credits!A9)</f>
        <v/>
      </c>
      <c r="B8" s="12"/>
      <c r="C8" s="12"/>
      <c r="D8" s="12"/>
      <c r="E8" s="12"/>
      <c r="F8" s="9" t="str">
        <f aca="false">IF(A8="","",Credits!D9)</f>
        <v/>
      </c>
      <c r="G8" s="12"/>
      <c r="H8" s="9" t="n">
        <f aca="false">10*N(C8)</f>
        <v>0</v>
      </c>
      <c r="I8" s="9" t="n">
        <f aca="false">5*MIN(2,N(D8))</f>
        <v>0</v>
      </c>
      <c r="J8" s="9" t="n">
        <f aca="false">-5*MIN(2,N(E8))</f>
        <v>-0</v>
      </c>
      <c r="K8" s="9" t="n">
        <f aca="false">IF(A8="",0,MIN(6,INT(N(F8)/5)))</f>
        <v>0</v>
      </c>
      <c r="L8" s="9" t="str">
        <f aca="false">IF(A8="","",H8+I8+J8+K8+MIN(4,N(G8)))</f>
        <v/>
      </c>
      <c r="M8" s="9" t="str">
        <f aca="false">IF(A8="","",IF(N(C8)&gt;=3,"Valid","INCOMPLETE"))</f>
        <v/>
      </c>
      <c r="N8" s="9" t="str">
        <f aca="false">IF(M8="Valid",COUNTIFS($M$2:$M$9,"Valid",$L$2:$L$9,"&gt;"&amp;L8)+1,"-")</f>
        <v>-</v>
      </c>
    </row>
    <row r="9" customFormat="false" ht="15" hidden="false" customHeight="false" outlineLevel="0" collapsed="false">
      <c r="A9" s="9" t="str">
        <f aca="false">IF(Credits!A10="","",Credits!A10)</f>
        <v/>
      </c>
      <c r="B9" s="12"/>
      <c r="C9" s="12"/>
      <c r="D9" s="12"/>
      <c r="E9" s="12"/>
      <c r="F9" s="9" t="str">
        <f aca="false">IF(A9="","",Credits!D10)</f>
        <v/>
      </c>
      <c r="G9" s="12"/>
      <c r="H9" s="9" t="n">
        <f aca="false">10*N(C9)</f>
        <v>0</v>
      </c>
      <c r="I9" s="9" t="n">
        <f aca="false">5*MIN(2,N(D9))</f>
        <v>0</v>
      </c>
      <c r="J9" s="9" t="n">
        <f aca="false">-5*MIN(2,N(E9))</f>
        <v>-0</v>
      </c>
      <c r="K9" s="9" t="n">
        <f aca="false">IF(A9="",0,MIN(6,INT(N(F9)/5)))</f>
        <v>0</v>
      </c>
      <c r="L9" s="9" t="str">
        <f aca="false">IF(A9="","",H9+I9+J9+K9+MIN(4,N(G9)))</f>
        <v/>
      </c>
      <c r="M9" s="9" t="str">
        <f aca="false">IF(A9="","",IF(N(C9)&gt;=3,"Valid","INCOMPLETE"))</f>
        <v/>
      </c>
      <c r="N9" s="9" t="str">
        <f aca="false">IF(M9="Valid",COUNTIFS($M$2:$M$9,"Valid",$L$2:$L$9,"&gt;"&amp;L9)+1,"-")</f>
        <v>-</v>
      </c>
    </row>
    <row r="11" customFormat="false" ht="15" hidden="false" customHeight="false" outlineLevel="0" collapsed="false">
      <c r="A11" s="6" t="s">
        <v>57</v>
      </c>
    </row>
  </sheetData>
  <dataValidations count="2">
    <dataValidation allowBlank="false" errorStyle="stop" operator="between" showDropDown="false" showErrorMessage="false" showInputMessage="false" sqref="C2:C9" type="whole">
      <formula1>0</formula1>
      <formula2>3</formula2>
    </dataValidation>
    <dataValidation allowBlank="false" errorStyle="stop" operator="between" showDropDown="false" showErrorMessage="false" showInputMessage="false" sqref="G2:G9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2026-10-16T13:10:54Z</dcterms:created>
  <dc:creator>openpyxl</dc:creator>
  <dc:description/>
  <dc:language>en-US</dc:language>
  <cp:lastModifiedBy/>
  <dcterms:modified xsi:type="dcterms:W3CDTF">2026-10-16T13:10:54Z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